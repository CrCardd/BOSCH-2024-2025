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S:\COM\Human_Resources\01.Engineering_Tech_School\02.Internal\5 - Aprendizes\2 - Desenvolvimento de Sistemas\5 - Soluções Digitais 2024\01 - Arquivos a serem disponibilizados\00 - Provas\Excel\Cristian Cardoso\"/>
    </mc:Choice>
  </mc:AlternateContent>
  <xr:revisionPtr revIDLastSave="0" documentId="13_ncr:1_{4F242CB2-22C2-49F5-AFE9-9383A645A319}" xr6:coauthVersionLast="47" xr6:coauthVersionMax="47" xr10:uidLastSave="{00000000-0000-0000-0000-000000000000}"/>
  <bookViews>
    <workbookView xWindow="-120" yWindow="-120" windowWidth="29040" windowHeight="15840" xr2:uid="{9B7C0236-70C7-4D81-97A0-38864620545B}"/>
  </bookViews>
  <sheets>
    <sheet name="Dados aprendizes" sheetId="4" r:id="rId1"/>
    <sheet name="Notas" sheetId="6" r:id="rId2"/>
    <sheet name="Indicadores" sheetId="7" r:id="rId3"/>
    <sheet name="LOGIN" sheetId="8" r:id="rId4"/>
  </sheets>
  <definedNames>
    <definedName name="_xlnm.Extract" localSheetId="0">'Dados aprendizes'!#REF!</definedName>
    <definedName name="daods">Tabela2[[#All],[ID]:[Nome]]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7" l="1"/>
  <c r="C25" i="7"/>
  <c r="C24" i="7"/>
  <c r="C23" i="7"/>
  <c r="C22" i="7"/>
  <c r="D12" i="7"/>
  <c r="J2" i="6"/>
  <c r="J3" i="6"/>
  <c r="J4" i="6"/>
  <c r="J5" i="6"/>
  <c r="J6" i="6"/>
  <c r="J7" i="6"/>
  <c r="J8" i="6"/>
  <c r="J10" i="6"/>
  <c r="J11" i="6"/>
  <c r="J12" i="6"/>
  <c r="J13" i="6"/>
  <c r="J14" i="6"/>
  <c r="J16" i="6"/>
  <c r="J18" i="6"/>
  <c r="J19" i="6"/>
  <c r="J20" i="6"/>
  <c r="J21" i="6"/>
  <c r="J22" i="6"/>
  <c r="J23" i="6"/>
  <c r="J24" i="6"/>
  <c r="J26" i="6"/>
  <c r="D6" i="7"/>
  <c r="D4" i="7"/>
  <c r="D2" i="7"/>
  <c r="H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I3" i="6"/>
  <c r="I4" i="6"/>
  <c r="I5" i="6"/>
  <c r="I6" i="6"/>
  <c r="I7" i="6"/>
  <c r="I8" i="6"/>
  <c r="I9" i="6"/>
  <c r="J9" i="6" s="1"/>
  <c r="I10" i="6"/>
  <c r="I11" i="6"/>
  <c r="I12" i="6"/>
  <c r="I13" i="6"/>
  <c r="I14" i="6"/>
  <c r="I15" i="6"/>
  <c r="J15" i="6" s="1"/>
  <c r="I16" i="6"/>
  <c r="I17" i="6"/>
  <c r="I18" i="6"/>
  <c r="I19" i="6"/>
  <c r="I20" i="6"/>
  <c r="I21" i="6"/>
  <c r="I22" i="6"/>
  <c r="I23" i="6"/>
  <c r="I24" i="6"/>
  <c r="I25" i="6"/>
  <c r="J25" i="6" s="1"/>
  <c r="I26" i="6"/>
  <c r="I27" i="6"/>
  <c r="J27" i="6" s="1"/>
  <c r="I2" i="6"/>
  <c r="D8" i="7" l="1"/>
  <c r="J17" i="6"/>
</calcChain>
</file>

<file path=xl/sharedStrings.xml><?xml version="1.0" encoding="utf-8"?>
<sst xmlns="http://schemas.openxmlformats.org/spreadsheetml/2006/main" count="84" uniqueCount="51">
  <si>
    <t>ID</t>
  </si>
  <si>
    <t>Nome</t>
  </si>
  <si>
    <t>Idade</t>
  </si>
  <si>
    <t>Sexo</t>
  </si>
  <si>
    <t>Faltas</t>
  </si>
  <si>
    <t>Fulano</t>
  </si>
  <si>
    <t>F</t>
  </si>
  <si>
    <t>Euclides</t>
  </si>
  <si>
    <t>M</t>
  </si>
  <si>
    <t>Alcides</t>
  </si>
  <si>
    <t>Larissa</t>
  </si>
  <si>
    <t>Mary</t>
  </si>
  <si>
    <t>Eduardo</t>
  </si>
  <si>
    <t>Joana</t>
  </si>
  <si>
    <t>Carlos</t>
  </si>
  <si>
    <t>Daniele</t>
  </si>
  <si>
    <t>Marcos</t>
  </si>
  <si>
    <t>Maria</t>
  </si>
  <si>
    <t>Rosa</t>
  </si>
  <si>
    <t>Josefina</t>
  </si>
  <si>
    <t>Murilo</t>
  </si>
  <si>
    <t>Rafaela</t>
  </si>
  <si>
    <t>Pedro</t>
  </si>
  <si>
    <t>Lucas</t>
  </si>
  <si>
    <t>Luca</t>
  </si>
  <si>
    <t>Vinicius</t>
  </si>
  <si>
    <t>Fabricio</t>
  </si>
  <si>
    <t>Carlito</t>
  </si>
  <si>
    <t>Miguel</t>
  </si>
  <si>
    <t>Gustavo</t>
  </si>
  <si>
    <t>Roberta</t>
  </si>
  <si>
    <t>Agatha</t>
  </si>
  <si>
    <t>Isadora</t>
  </si>
  <si>
    <t>Treinamento 1</t>
  </si>
  <si>
    <t>Treinamento 2</t>
  </si>
  <si>
    <t>Treinamento 3</t>
  </si>
  <si>
    <t>Treinamento 4</t>
  </si>
  <si>
    <t>Treinamento 5</t>
  </si>
  <si>
    <t>Maior Nota</t>
  </si>
  <si>
    <t>Menor Nota</t>
  </si>
  <si>
    <t>Média</t>
  </si>
  <si>
    <t>Desempenho</t>
  </si>
  <si>
    <t>Número de mulheres</t>
  </si>
  <si>
    <t>Gráfico</t>
  </si>
  <si>
    <t>Número de homens</t>
  </si>
  <si>
    <t>Média de Idade</t>
  </si>
  <si>
    <t>Melhor Aluno</t>
  </si>
  <si>
    <t>Total de Fatas</t>
  </si>
  <si>
    <t>Desempenho aluno</t>
  </si>
  <si>
    <t>Maior nota</t>
  </si>
  <si>
    <t>Raissa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</si>
</sst>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/>
        <bgColor theme="7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/>
    <xf numFmtId="0" fontId="2" fillId="0" borderId="0" xfId="0" applyFont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</cellXfs>
  <cellStyles count="1">
    <cellStyle name="Normal" xfId="0" builtinId="0"/>
  </cellStyles>
  <dxfs count="25"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Gráfico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Indicadores!$B$22</c:f>
              <c:strCache>
                <c:ptCount val="1"/>
                <c:pt idx="0">
                  <c:v>Treinamento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Indicadores!$C$22</c:f>
              <c:numCache>
                <c:formatCode>General</c:formatCode>
                <c:ptCount val="1"/>
                <c:pt idx="0">
                  <c:v>6.08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09-45D4-85FC-5D2188CEB8BA}"/>
            </c:ext>
          </c:extLst>
        </c:ser>
        <c:ser>
          <c:idx val="1"/>
          <c:order val="1"/>
          <c:tx>
            <c:strRef>
              <c:f>Indicadores!$B$23</c:f>
              <c:strCache>
                <c:ptCount val="1"/>
                <c:pt idx="0">
                  <c:v>Treinamento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Indicadores!$C$23</c:f>
              <c:numCache>
                <c:formatCode>General</c:formatCode>
                <c:ptCount val="1"/>
                <c:pt idx="0">
                  <c:v>5.42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09-45D4-85FC-5D2188CEB8BA}"/>
            </c:ext>
          </c:extLst>
        </c:ser>
        <c:ser>
          <c:idx val="2"/>
          <c:order val="2"/>
          <c:tx>
            <c:strRef>
              <c:f>Indicadores!$B$24</c:f>
              <c:strCache>
                <c:ptCount val="1"/>
                <c:pt idx="0">
                  <c:v>Treinamento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Indicadores!$C$24</c:f>
              <c:numCache>
                <c:formatCode>General</c:formatCode>
                <c:ptCount val="1"/>
                <c:pt idx="0">
                  <c:v>5.27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209-45D4-85FC-5D2188CEB8BA}"/>
            </c:ext>
          </c:extLst>
        </c:ser>
        <c:ser>
          <c:idx val="3"/>
          <c:order val="3"/>
          <c:tx>
            <c:strRef>
              <c:f>Indicadores!$B$25</c:f>
              <c:strCache>
                <c:ptCount val="1"/>
                <c:pt idx="0">
                  <c:v>Treinamento 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Indicadores!$C$25</c:f>
              <c:numCache>
                <c:formatCode>General</c:formatCode>
                <c:ptCount val="1"/>
                <c:pt idx="0">
                  <c:v>5.69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209-45D4-85FC-5D2188CEB8BA}"/>
            </c:ext>
          </c:extLst>
        </c:ser>
        <c:ser>
          <c:idx val="4"/>
          <c:order val="4"/>
          <c:tx>
            <c:strRef>
              <c:f>Indicadores!$B$26</c:f>
              <c:strCache>
                <c:ptCount val="1"/>
                <c:pt idx="0">
                  <c:v>Treinamento 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Indicadores!$C$26</c:f>
              <c:numCache>
                <c:formatCode>General</c:formatCode>
                <c:ptCount val="1"/>
                <c:pt idx="0">
                  <c:v>5.88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09-45D4-85FC-5D2188CEB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25991343"/>
        <c:axId val="925139695"/>
      </c:barChart>
      <c:catAx>
        <c:axId val="92599134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25139695"/>
        <c:crosses val="autoZero"/>
        <c:auto val="1"/>
        <c:lblAlgn val="ctr"/>
        <c:lblOffset val="100"/>
        <c:noMultiLvlLbl val="0"/>
      </c:catAx>
      <c:valAx>
        <c:axId val="9251396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5991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6</xdr:row>
          <xdr:rowOff>47625</xdr:rowOff>
        </xdr:from>
        <xdr:to>
          <xdr:col>10</xdr:col>
          <xdr:colOff>371475</xdr:colOff>
          <xdr:row>9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aluno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8</xdr:row>
          <xdr:rowOff>180975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304800</xdr:colOff>
      <xdr:row>1</xdr:row>
      <xdr:rowOff>114300</xdr:rowOff>
    </xdr:from>
    <xdr:to>
      <xdr:col>16</xdr:col>
      <xdr:colOff>514350</xdr:colOff>
      <xdr:row>16</xdr:row>
      <xdr:rowOff>185738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944F3EC-810D-4C9E-B3E7-D03AE2739A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180974</xdr:colOff>
          <xdr:row>3</xdr:row>
          <xdr:rowOff>57150</xdr:rowOff>
        </xdr:from>
        <xdr:to>
          <xdr:col>24</xdr:col>
          <xdr:colOff>409575</xdr:colOff>
          <xdr:row>32</xdr:row>
          <xdr:rowOff>19050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F181503-12F4-4B73-93CB-5CAC7818030B}" name="Tabela2" displayName="Tabela2" ref="A1:E28" totalsRowShown="0" headerRowDxfId="24" dataDxfId="22" headerRowBorderDxfId="23" tableBorderDxfId="21" totalsRowBorderDxfId="20">
  <autoFilter ref="A1:E28" xr:uid="{1F181503-12F4-4B73-93CB-5CAC7818030B}"/>
  <sortState xmlns:xlrd2="http://schemas.microsoft.com/office/spreadsheetml/2017/richdata2" ref="A2:E27">
    <sortCondition ref="B2:B27"/>
  </sortState>
  <tableColumns count="5">
    <tableColumn id="1" xr3:uid="{80A7FA64-C9DA-460C-9C31-856D7FB1E4AA}" name="ID" dataDxfId="0"/>
    <tableColumn id="2" xr3:uid="{7F9A9D9C-E1FA-41C2-A56D-1A2538241F2B}" name="Nome" dataDxfId="19"/>
    <tableColumn id="3" xr3:uid="{8F19CE2C-CE6C-4886-8E57-75D37FDF69F1}" name="Idade" dataDxfId="18"/>
    <tableColumn id="4" xr3:uid="{B7C5F46C-27DB-4FEE-9903-4DA134A78C79}" name="Sexo" dataDxfId="17"/>
    <tableColumn id="5" xr3:uid="{C8BAD8C8-6771-458F-B4E5-E75768618DE4}" name="Faltas" dataDxfId="16"/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C1763B8-C028-492E-94EC-BDEC4BD940C3}" name="Tabela6" displayName="Tabela6" ref="A1:J27" totalsRowShown="0" headerRowDxfId="15" dataDxfId="13" headerRowBorderDxfId="14" tableBorderDxfId="12" totalsRowBorderDxfId="11">
  <autoFilter ref="A1:J27" xr:uid="{3C1763B8-C028-492E-94EC-BDEC4BD940C3}"/>
  <tableColumns count="10">
    <tableColumn id="1" xr3:uid="{88B02CC6-7CF9-4E7F-A0AF-CC162F249075}" name="ID" dataDxfId="10"/>
    <tableColumn id="2" xr3:uid="{79A626A3-C936-4FD3-8357-F1E81D1B6255}" name="Treinamento 1" dataDxfId="9"/>
    <tableColumn id="3" xr3:uid="{62D809D2-A0EC-4BD6-8958-35CF89256A11}" name="Treinamento 2" dataDxfId="8"/>
    <tableColumn id="4" xr3:uid="{EAA0CD3A-8F83-435D-8AE0-7D30F34A4773}" name="Treinamento 3" dataDxfId="7"/>
    <tableColumn id="5" xr3:uid="{6B4C5D29-1A3A-48AC-8CA6-1885D1C00831}" name="Treinamento 4" dataDxfId="6"/>
    <tableColumn id="6" xr3:uid="{CE10EC6F-6AF5-444D-92FF-97475AF90D2E}" name="Treinamento 5" dataDxfId="5"/>
    <tableColumn id="7" xr3:uid="{30E7CAD2-A7E7-41DE-9DE2-7E37B9627207}" name="Maior Nota" dataDxfId="4">
      <calculatedColumnFormula>LARGE(Tabela6[[#This Row],[Treinamento 1]:[Treinamento 4]],1)</calculatedColumnFormula>
    </tableColumn>
    <tableColumn id="8" xr3:uid="{38B93BA4-018A-41B0-9F1C-B54203C74F52}" name="Menor Nota" dataDxfId="3">
      <calculatedColumnFormula>SMALL(Tabela6[[#This Row],[Treinamento 1]:[Treinamento 5]],1)</calculatedColumnFormula>
    </tableColumn>
    <tableColumn id="9" xr3:uid="{4B48870F-4544-4428-B23B-2C8B34554B74}" name="Média" dataDxfId="2">
      <calculatedColumnFormula>(AVERAGE(B2:F2))</calculatedColumnFormula>
    </tableColumn>
    <tableColumn id="10" xr3:uid="{A6DEB659-2681-44C1-BF42-4AAAAFB26CE5}" name="Desempenho" dataDxfId="1">
      <calculatedColumnFormula>IF($I2&gt;=8,"Excelente",IF($I2&gt;=6,"Bom", "A desejar"))</calculatedColumnFormula>
    </tableColumn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F3825-3519-4A07-9ACF-C945B4BF86C3}">
  <sheetPr codeName="Planilha1"/>
  <dimension ref="A1:E28"/>
  <sheetViews>
    <sheetView tabSelected="1" workbookViewId="0">
      <selection activeCell="H6" sqref="H6"/>
    </sheetView>
  </sheetViews>
  <sheetFormatPr defaultRowHeight="15" x14ac:dyDescent="0.25"/>
  <cols>
    <col min="1" max="1" width="12.7109375" customWidth="1"/>
    <col min="2" max="2" width="13.28515625" customWidth="1"/>
    <col min="3" max="3" width="12.42578125" customWidth="1"/>
    <col min="4" max="4" width="11.42578125" customWidth="1"/>
    <col min="5" max="5" width="11.7109375" style="1" customWidth="1"/>
  </cols>
  <sheetData>
    <row r="1" spans="1:5" x14ac:dyDescent="0.25">
      <c r="A1" s="6" t="s">
        <v>0</v>
      </c>
      <c r="B1" s="16" t="s">
        <v>1</v>
      </c>
      <c r="C1" s="16" t="s">
        <v>2</v>
      </c>
      <c r="D1" s="16" t="s">
        <v>3</v>
      </c>
      <c r="E1" s="17" t="s">
        <v>4</v>
      </c>
    </row>
    <row r="2" spans="1:5" x14ac:dyDescent="0.25">
      <c r="A2" s="7">
        <v>9304</v>
      </c>
      <c r="B2" s="8" t="s">
        <v>31</v>
      </c>
      <c r="C2" s="8">
        <v>17</v>
      </c>
      <c r="D2" s="8" t="s">
        <v>6</v>
      </c>
      <c r="E2" s="9">
        <v>14</v>
      </c>
    </row>
    <row r="3" spans="1:5" x14ac:dyDescent="0.25">
      <c r="A3" s="7">
        <v>9282</v>
      </c>
      <c r="B3" s="8" t="s">
        <v>9</v>
      </c>
      <c r="C3" s="8">
        <v>18</v>
      </c>
      <c r="D3" s="8" t="s">
        <v>8</v>
      </c>
      <c r="E3" s="9">
        <v>10</v>
      </c>
    </row>
    <row r="4" spans="1:5" x14ac:dyDescent="0.25">
      <c r="A4" s="7">
        <v>9300</v>
      </c>
      <c r="B4" s="8" t="s">
        <v>27</v>
      </c>
      <c r="C4" s="8">
        <v>18</v>
      </c>
      <c r="D4" s="8" t="s">
        <v>8</v>
      </c>
      <c r="E4" s="9">
        <v>3</v>
      </c>
    </row>
    <row r="5" spans="1:5" x14ac:dyDescent="0.25">
      <c r="A5" s="7">
        <v>9287</v>
      </c>
      <c r="B5" s="8" t="s">
        <v>14</v>
      </c>
      <c r="C5" s="8">
        <v>17</v>
      </c>
      <c r="D5" s="8" t="s">
        <v>8</v>
      </c>
      <c r="E5" s="9">
        <v>8</v>
      </c>
    </row>
    <row r="6" spans="1:5" x14ac:dyDescent="0.25">
      <c r="A6" s="7">
        <v>9288</v>
      </c>
      <c r="B6" s="8" t="s">
        <v>15</v>
      </c>
      <c r="C6" s="8">
        <v>18</v>
      </c>
      <c r="D6" s="8" t="s">
        <v>6</v>
      </c>
      <c r="E6" s="9">
        <v>2</v>
      </c>
    </row>
    <row r="7" spans="1:5" x14ac:dyDescent="0.25">
      <c r="A7" s="7">
        <v>9285</v>
      </c>
      <c r="B7" s="8" t="s">
        <v>12</v>
      </c>
      <c r="C7" s="8">
        <v>18</v>
      </c>
      <c r="D7" s="8" t="s">
        <v>8</v>
      </c>
      <c r="E7" s="9">
        <v>7</v>
      </c>
    </row>
    <row r="8" spans="1:5" x14ac:dyDescent="0.25">
      <c r="A8" s="7">
        <v>9281</v>
      </c>
      <c r="B8" s="8" t="s">
        <v>7</v>
      </c>
      <c r="C8" s="8">
        <v>16</v>
      </c>
      <c r="D8" s="8" t="s">
        <v>8</v>
      </c>
      <c r="E8" s="9">
        <v>4</v>
      </c>
    </row>
    <row r="9" spans="1:5" x14ac:dyDescent="0.25">
      <c r="A9" s="7">
        <v>9299</v>
      </c>
      <c r="B9" s="8" t="s">
        <v>26</v>
      </c>
      <c r="C9" s="8">
        <v>17</v>
      </c>
      <c r="D9" s="8" t="s">
        <v>8</v>
      </c>
      <c r="E9" s="9">
        <v>4</v>
      </c>
    </row>
    <row r="10" spans="1:5" x14ac:dyDescent="0.25">
      <c r="A10" s="7">
        <v>9280</v>
      </c>
      <c r="B10" s="8" t="s">
        <v>5</v>
      </c>
      <c r="C10" s="8">
        <v>15</v>
      </c>
      <c r="D10" s="8" t="s">
        <v>6</v>
      </c>
      <c r="E10" s="9">
        <v>2</v>
      </c>
    </row>
    <row r="11" spans="1:5" x14ac:dyDescent="0.25">
      <c r="A11" s="7">
        <v>9302</v>
      </c>
      <c r="B11" s="8" t="s">
        <v>29</v>
      </c>
      <c r="C11" s="8">
        <v>16</v>
      </c>
      <c r="D11" s="8" t="s">
        <v>8</v>
      </c>
      <c r="E11" s="9">
        <v>9</v>
      </c>
    </row>
    <row r="12" spans="1:5" x14ac:dyDescent="0.25">
      <c r="A12" s="7">
        <v>9305</v>
      </c>
      <c r="B12" s="8" t="s">
        <v>32</v>
      </c>
      <c r="C12" s="8">
        <v>18</v>
      </c>
      <c r="D12" s="8" t="s">
        <v>6</v>
      </c>
      <c r="E12" s="9">
        <v>16</v>
      </c>
    </row>
    <row r="13" spans="1:5" x14ac:dyDescent="0.25">
      <c r="A13" s="7">
        <v>9286</v>
      </c>
      <c r="B13" s="8" t="s">
        <v>13</v>
      </c>
      <c r="C13" s="8">
        <v>16</v>
      </c>
      <c r="D13" s="8" t="s">
        <v>6</v>
      </c>
      <c r="E13" s="9">
        <v>3</v>
      </c>
    </row>
    <row r="14" spans="1:5" x14ac:dyDescent="0.25">
      <c r="A14" s="7">
        <v>9292</v>
      </c>
      <c r="B14" s="8" t="s">
        <v>19</v>
      </c>
      <c r="C14" s="8">
        <v>15</v>
      </c>
      <c r="D14" s="8" t="s">
        <v>6</v>
      </c>
      <c r="E14" s="9">
        <v>3</v>
      </c>
    </row>
    <row r="15" spans="1:5" x14ac:dyDescent="0.25">
      <c r="A15" s="7">
        <v>9283</v>
      </c>
      <c r="B15" s="8" t="s">
        <v>10</v>
      </c>
      <c r="C15" s="8">
        <v>20</v>
      </c>
      <c r="D15" s="8" t="s">
        <v>6</v>
      </c>
      <c r="E15" s="9">
        <v>3</v>
      </c>
    </row>
    <row r="16" spans="1:5" x14ac:dyDescent="0.25">
      <c r="A16" s="7">
        <v>9297</v>
      </c>
      <c r="B16" s="8" t="s">
        <v>24</v>
      </c>
      <c r="C16" s="8">
        <v>18</v>
      </c>
      <c r="D16" s="8" t="s">
        <v>8</v>
      </c>
      <c r="E16" s="9">
        <v>4</v>
      </c>
    </row>
    <row r="17" spans="1:5" x14ac:dyDescent="0.25">
      <c r="A17" s="7">
        <v>9296</v>
      </c>
      <c r="B17" s="8" t="s">
        <v>23</v>
      </c>
      <c r="C17" s="8">
        <v>17</v>
      </c>
      <c r="D17" s="8" t="s">
        <v>8</v>
      </c>
      <c r="E17" s="9">
        <v>10</v>
      </c>
    </row>
    <row r="18" spans="1:5" x14ac:dyDescent="0.25">
      <c r="A18" s="7">
        <v>9289</v>
      </c>
      <c r="B18" s="8" t="s">
        <v>16</v>
      </c>
      <c r="C18" s="8">
        <v>18</v>
      </c>
      <c r="D18" s="8" t="s">
        <v>8</v>
      </c>
      <c r="E18" s="9">
        <v>1</v>
      </c>
    </row>
    <row r="19" spans="1:5" x14ac:dyDescent="0.25">
      <c r="A19" s="7">
        <v>9290</v>
      </c>
      <c r="B19" s="8" t="s">
        <v>17</v>
      </c>
      <c r="C19" s="8">
        <v>16</v>
      </c>
      <c r="D19" s="8" t="s">
        <v>6</v>
      </c>
      <c r="E19" s="9">
        <v>7</v>
      </c>
    </row>
    <row r="20" spans="1:5" x14ac:dyDescent="0.25">
      <c r="A20" s="7">
        <v>9284</v>
      </c>
      <c r="B20" s="8" t="s">
        <v>11</v>
      </c>
      <c r="C20" s="8">
        <v>17</v>
      </c>
      <c r="D20" s="8" t="s">
        <v>6</v>
      </c>
      <c r="E20" s="9">
        <v>2</v>
      </c>
    </row>
    <row r="21" spans="1:5" x14ac:dyDescent="0.25">
      <c r="A21" s="7">
        <v>9301</v>
      </c>
      <c r="B21" s="8" t="s">
        <v>28</v>
      </c>
      <c r="C21" s="8">
        <v>18</v>
      </c>
      <c r="D21" s="8" t="s">
        <v>8</v>
      </c>
      <c r="E21" s="9">
        <v>7</v>
      </c>
    </row>
    <row r="22" spans="1:5" x14ac:dyDescent="0.25">
      <c r="A22" s="7">
        <v>9293</v>
      </c>
      <c r="B22" s="8" t="s">
        <v>20</v>
      </c>
      <c r="C22" s="8">
        <v>16</v>
      </c>
      <c r="D22" s="8" t="s">
        <v>8</v>
      </c>
      <c r="E22" s="9">
        <v>7</v>
      </c>
    </row>
    <row r="23" spans="1:5" x14ac:dyDescent="0.25">
      <c r="A23" s="7">
        <v>9295</v>
      </c>
      <c r="B23" s="8" t="s">
        <v>22</v>
      </c>
      <c r="C23" s="8">
        <v>20</v>
      </c>
      <c r="D23" s="8" t="s">
        <v>8</v>
      </c>
      <c r="E23" s="9">
        <v>14</v>
      </c>
    </row>
    <row r="24" spans="1:5" x14ac:dyDescent="0.25">
      <c r="A24" s="7">
        <v>9294</v>
      </c>
      <c r="B24" s="8" t="s">
        <v>21</v>
      </c>
      <c r="C24" s="8">
        <v>18</v>
      </c>
      <c r="D24" s="8" t="s">
        <v>6</v>
      </c>
      <c r="E24" s="9">
        <v>15</v>
      </c>
    </row>
    <row r="25" spans="1:5" x14ac:dyDescent="0.25">
      <c r="A25" s="7">
        <v>9303</v>
      </c>
      <c r="B25" s="8" t="s">
        <v>30</v>
      </c>
      <c r="C25" s="8">
        <v>21</v>
      </c>
      <c r="D25" s="8" t="s">
        <v>6</v>
      </c>
      <c r="E25" s="9">
        <v>10</v>
      </c>
    </row>
    <row r="26" spans="1:5" x14ac:dyDescent="0.25">
      <c r="A26" s="7">
        <v>9291</v>
      </c>
      <c r="B26" s="8" t="s">
        <v>18</v>
      </c>
      <c r="C26" s="8">
        <v>21</v>
      </c>
      <c r="D26" s="8" t="s">
        <v>6</v>
      </c>
      <c r="E26" s="9">
        <v>9</v>
      </c>
    </row>
    <row r="27" spans="1:5" x14ac:dyDescent="0.25">
      <c r="A27" s="10">
        <v>9298</v>
      </c>
      <c r="B27" s="11" t="s">
        <v>25</v>
      </c>
      <c r="C27" s="11">
        <v>16</v>
      </c>
      <c r="D27" s="11" t="s">
        <v>8</v>
      </c>
      <c r="E27" s="12">
        <v>1</v>
      </c>
    </row>
    <row r="28" spans="1:5" x14ac:dyDescent="0.25">
      <c r="A28" s="7">
        <v>9999</v>
      </c>
      <c r="B28" s="8" t="s">
        <v>50</v>
      </c>
      <c r="C28" s="8">
        <v>21</v>
      </c>
      <c r="D28" s="8" t="s">
        <v>6</v>
      </c>
      <c r="E28" s="9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adas">
                <anchor moveWithCells="1">
                  <from>
                    <xdr:col>7</xdr:col>
                    <xdr:colOff>504825</xdr:colOff>
                    <xdr:row>6</xdr:row>
                    <xdr:rowOff>47625</xdr:rowOff>
                  </from>
                  <to>
                    <xdr:col>10</xdr:col>
                    <xdr:colOff>371475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2068F-59E7-490F-8030-3C466A0CEFB5}">
  <sheetPr codeName="Planilha2"/>
  <dimension ref="A1:J27"/>
  <sheetViews>
    <sheetView workbookViewId="0">
      <selection activeCell="E29" sqref="E29"/>
    </sheetView>
  </sheetViews>
  <sheetFormatPr defaultRowHeight="15" x14ac:dyDescent="0.25"/>
  <cols>
    <col min="1" max="1" width="11.42578125" customWidth="1"/>
    <col min="2" max="5" width="16" customWidth="1"/>
    <col min="6" max="6" width="21.85546875" customWidth="1"/>
    <col min="7" max="7" width="20.5703125" customWidth="1"/>
    <col min="8" max="8" width="18.85546875" customWidth="1"/>
    <col min="9" max="9" width="12.7109375" customWidth="1"/>
    <col min="10" max="10" width="17" customWidth="1"/>
  </cols>
  <sheetData>
    <row r="1" spans="1:10" x14ac:dyDescent="0.25">
      <c r="A1" s="6" t="s">
        <v>0</v>
      </c>
      <c r="B1" s="4" t="s">
        <v>33</v>
      </c>
      <c r="C1" s="4" t="s">
        <v>34</v>
      </c>
      <c r="D1" s="4" t="s">
        <v>35</v>
      </c>
      <c r="E1" s="4" t="s">
        <v>36</v>
      </c>
      <c r="F1" s="4" t="s">
        <v>37</v>
      </c>
      <c r="G1" s="4" t="s">
        <v>38</v>
      </c>
      <c r="H1" s="4" t="s">
        <v>39</v>
      </c>
      <c r="I1" s="4" t="s">
        <v>40</v>
      </c>
      <c r="J1" s="5" t="s">
        <v>41</v>
      </c>
    </row>
    <row r="2" spans="1:10" x14ac:dyDescent="0.25">
      <c r="A2" s="7">
        <v>9280</v>
      </c>
      <c r="B2" s="8">
        <v>10</v>
      </c>
      <c r="C2" s="8">
        <v>5</v>
      </c>
      <c r="D2" s="8">
        <v>10</v>
      </c>
      <c r="E2" s="8">
        <v>8</v>
      </c>
      <c r="F2" s="8">
        <v>7</v>
      </c>
      <c r="G2" s="8">
        <f>LARGE(Tabela6[[#This Row],[Treinamento 1]:[Treinamento 4]],1)</f>
        <v>10</v>
      </c>
      <c r="H2" s="8">
        <f>SMALL(Tabela6[[#This Row],[Treinamento 1]:[Treinamento 5]],1)</f>
        <v>5</v>
      </c>
      <c r="I2" s="8">
        <f>(AVERAGE(B2:F2))</f>
        <v>8</v>
      </c>
      <c r="J2" s="9" t="str">
        <f t="shared" ref="J2:J27" si="0">IF($I2&gt;=8,"Excelente",IF($I2&gt;=6,"Bom", "A desejar"))</f>
        <v>Excelente</v>
      </c>
    </row>
    <row r="3" spans="1:10" x14ac:dyDescent="0.25">
      <c r="A3" s="7">
        <v>9281</v>
      </c>
      <c r="B3" s="8">
        <v>8</v>
      </c>
      <c r="C3" s="8">
        <v>9</v>
      </c>
      <c r="D3" s="8">
        <v>3</v>
      </c>
      <c r="E3" s="8">
        <v>4</v>
      </c>
      <c r="F3" s="8">
        <v>3</v>
      </c>
      <c r="G3" s="8">
        <f>LARGE(Tabela6[[#This Row],[Treinamento 1]:[Treinamento 4]],1)</f>
        <v>9</v>
      </c>
      <c r="H3" s="8">
        <f>SMALL(Tabela6[[#This Row],[Treinamento 1]:[Treinamento 5]],1)</f>
        <v>3</v>
      </c>
      <c r="I3" s="8">
        <f t="shared" ref="I3:I27" si="1">(AVERAGE(B3:F3))</f>
        <v>5.4</v>
      </c>
      <c r="J3" s="9" t="str">
        <f t="shared" si="0"/>
        <v>A desejar</v>
      </c>
    </row>
    <row r="4" spans="1:10" x14ac:dyDescent="0.25">
      <c r="A4" s="7">
        <v>9282</v>
      </c>
      <c r="B4" s="8">
        <v>7</v>
      </c>
      <c r="C4" s="8">
        <v>4</v>
      </c>
      <c r="D4" s="8">
        <v>6</v>
      </c>
      <c r="E4" s="8">
        <v>10</v>
      </c>
      <c r="F4" s="8">
        <v>6</v>
      </c>
      <c r="G4" s="8">
        <f>LARGE(Tabela6[[#This Row],[Treinamento 1]:[Treinamento 4]],1)</f>
        <v>10</v>
      </c>
      <c r="H4" s="8">
        <f>SMALL(Tabela6[[#This Row],[Treinamento 1]:[Treinamento 5]],1)</f>
        <v>4</v>
      </c>
      <c r="I4" s="8">
        <f t="shared" si="1"/>
        <v>6.6</v>
      </c>
      <c r="J4" s="9" t="str">
        <f t="shared" si="0"/>
        <v>Bom</v>
      </c>
    </row>
    <row r="5" spans="1:10" x14ac:dyDescent="0.25">
      <c r="A5" s="7">
        <v>9283</v>
      </c>
      <c r="B5" s="8">
        <v>10</v>
      </c>
      <c r="C5" s="8">
        <v>6</v>
      </c>
      <c r="D5" s="8">
        <v>8</v>
      </c>
      <c r="E5" s="8">
        <v>2</v>
      </c>
      <c r="F5" s="8">
        <v>1</v>
      </c>
      <c r="G5" s="8">
        <f>LARGE(Tabela6[[#This Row],[Treinamento 1]:[Treinamento 4]],1)</f>
        <v>10</v>
      </c>
      <c r="H5" s="8">
        <f>SMALL(Tabela6[[#This Row],[Treinamento 1]:[Treinamento 5]],1)</f>
        <v>1</v>
      </c>
      <c r="I5" s="8">
        <f t="shared" si="1"/>
        <v>5.4</v>
      </c>
      <c r="J5" s="9" t="str">
        <f t="shared" si="0"/>
        <v>A desejar</v>
      </c>
    </row>
    <row r="6" spans="1:10" x14ac:dyDescent="0.25">
      <c r="A6" s="7">
        <v>9284</v>
      </c>
      <c r="B6" s="8">
        <v>8</v>
      </c>
      <c r="C6" s="8">
        <v>5</v>
      </c>
      <c r="D6" s="8">
        <v>4</v>
      </c>
      <c r="E6" s="8">
        <v>9</v>
      </c>
      <c r="F6" s="8">
        <v>8</v>
      </c>
      <c r="G6" s="8">
        <f>LARGE(Tabela6[[#This Row],[Treinamento 1]:[Treinamento 4]],1)</f>
        <v>9</v>
      </c>
      <c r="H6" s="8">
        <f>SMALL(Tabela6[[#This Row],[Treinamento 1]:[Treinamento 5]],1)</f>
        <v>4</v>
      </c>
      <c r="I6" s="8">
        <f t="shared" si="1"/>
        <v>6.8</v>
      </c>
      <c r="J6" s="9" t="str">
        <f t="shared" si="0"/>
        <v>Bom</v>
      </c>
    </row>
    <row r="7" spans="1:10" x14ac:dyDescent="0.25">
      <c r="A7" s="7">
        <v>9285</v>
      </c>
      <c r="B7" s="8">
        <v>2</v>
      </c>
      <c r="C7" s="8">
        <v>3</v>
      </c>
      <c r="D7" s="8">
        <v>8</v>
      </c>
      <c r="E7" s="8">
        <v>8</v>
      </c>
      <c r="F7" s="8">
        <v>8</v>
      </c>
      <c r="G7" s="8">
        <f>LARGE(Tabela6[[#This Row],[Treinamento 1]:[Treinamento 4]],1)</f>
        <v>8</v>
      </c>
      <c r="H7" s="8">
        <f>SMALL(Tabela6[[#This Row],[Treinamento 1]:[Treinamento 5]],1)</f>
        <v>2</v>
      </c>
      <c r="I7" s="8">
        <f t="shared" si="1"/>
        <v>5.8</v>
      </c>
      <c r="J7" s="9" t="str">
        <f t="shared" si="0"/>
        <v>A desejar</v>
      </c>
    </row>
    <row r="8" spans="1:10" x14ac:dyDescent="0.25">
      <c r="A8" s="7">
        <v>9286</v>
      </c>
      <c r="B8" s="8">
        <v>3</v>
      </c>
      <c r="C8" s="8">
        <v>10</v>
      </c>
      <c r="D8" s="8">
        <v>3</v>
      </c>
      <c r="E8" s="8">
        <v>7</v>
      </c>
      <c r="F8" s="8">
        <v>2</v>
      </c>
      <c r="G8" s="8">
        <f>LARGE(Tabela6[[#This Row],[Treinamento 1]:[Treinamento 4]],1)</f>
        <v>10</v>
      </c>
      <c r="H8" s="8">
        <f>SMALL(Tabela6[[#This Row],[Treinamento 1]:[Treinamento 5]],1)</f>
        <v>2</v>
      </c>
      <c r="I8" s="8">
        <f t="shared" si="1"/>
        <v>5</v>
      </c>
      <c r="J8" s="9" t="str">
        <f t="shared" si="0"/>
        <v>A desejar</v>
      </c>
    </row>
    <row r="9" spans="1:10" x14ac:dyDescent="0.25">
      <c r="A9" s="7">
        <v>9287</v>
      </c>
      <c r="B9" s="8">
        <v>4</v>
      </c>
      <c r="C9" s="8">
        <v>4</v>
      </c>
      <c r="D9" s="8">
        <v>5</v>
      </c>
      <c r="E9" s="8">
        <v>5</v>
      </c>
      <c r="F9" s="8">
        <v>6</v>
      </c>
      <c r="G9" s="8">
        <f>LARGE(Tabela6[[#This Row],[Treinamento 1]:[Treinamento 4]],1)</f>
        <v>5</v>
      </c>
      <c r="H9" s="8">
        <f>SMALL(Tabela6[[#This Row],[Treinamento 1]:[Treinamento 5]],1)</f>
        <v>4</v>
      </c>
      <c r="I9" s="8">
        <f t="shared" si="1"/>
        <v>4.8</v>
      </c>
      <c r="J9" s="9" t="str">
        <f t="shared" si="0"/>
        <v>A desejar</v>
      </c>
    </row>
    <row r="10" spans="1:10" x14ac:dyDescent="0.25">
      <c r="A10" s="7">
        <v>9288</v>
      </c>
      <c r="B10" s="8">
        <v>6</v>
      </c>
      <c r="C10" s="8">
        <v>2</v>
      </c>
      <c r="D10" s="8">
        <v>3</v>
      </c>
      <c r="E10" s="8">
        <v>2</v>
      </c>
      <c r="F10" s="8">
        <v>6</v>
      </c>
      <c r="G10" s="8">
        <f>LARGE(Tabela6[[#This Row],[Treinamento 1]:[Treinamento 4]],1)</f>
        <v>6</v>
      </c>
      <c r="H10" s="8">
        <f>SMALL(Tabela6[[#This Row],[Treinamento 1]:[Treinamento 5]],1)</f>
        <v>2</v>
      </c>
      <c r="I10" s="8">
        <f t="shared" si="1"/>
        <v>3.8</v>
      </c>
      <c r="J10" s="9" t="str">
        <f t="shared" si="0"/>
        <v>A desejar</v>
      </c>
    </row>
    <row r="11" spans="1:10" x14ac:dyDescent="0.25">
      <c r="A11" s="7">
        <v>9289</v>
      </c>
      <c r="B11" s="8">
        <v>7</v>
      </c>
      <c r="C11" s="8">
        <v>7</v>
      </c>
      <c r="D11" s="8">
        <v>8</v>
      </c>
      <c r="E11" s="8">
        <v>5</v>
      </c>
      <c r="F11" s="8">
        <v>2</v>
      </c>
      <c r="G11" s="8">
        <f>LARGE(Tabela6[[#This Row],[Treinamento 1]:[Treinamento 4]],1)</f>
        <v>8</v>
      </c>
      <c r="H11" s="8">
        <f>SMALL(Tabela6[[#This Row],[Treinamento 1]:[Treinamento 5]],1)</f>
        <v>2</v>
      </c>
      <c r="I11" s="8">
        <f t="shared" si="1"/>
        <v>5.8</v>
      </c>
      <c r="J11" s="9" t="str">
        <f t="shared" si="0"/>
        <v>A desejar</v>
      </c>
    </row>
    <row r="12" spans="1:10" x14ac:dyDescent="0.25">
      <c r="A12" s="7">
        <v>9290</v>
      </c>
      <c r="B12" s="8">
        <v>1</v>
      </c>
      <c r="C12" s="8">
        <v>1</v>
      </c>
      <c r="D12" s="8">
        <v>0</v>
      </c>
      <c r="E12" s="8">
        <v>10</v>
      </c>
      <c r="F12" s="8">
        <v>7</v>
      </c>
      <c r="G12" s="8">
        <f>LARGE(Tabela6[[#This Row],[Treinamento 1]:[Treinamento 4]],1)</f>
        <v>10</v>
      </c>
      <c r="H12" s="8">
        <f>SMALL(Tabela6[[#This Row],[Treinamento 1]:[Treinamento 5]],1)</f>
        <v>0</v>
      </c>
      <c r="I12" s="8">
        <f t="shared" si="1"/>
        <v>3.8</v>
      </c>
      <c r="J12" s="9" t="str">
        <f t="shared" si="0"/>
        <v>A desejar</v>
      </c>
    </row>
    <row r="13" spans="1:10" x14ac:dyDescent="0.25">
      <c r="A13" s="7">
        <v>9291</v>
      </c>
      <c r="B13" s="8">
        <v>8</v>
      </c>
      <c r="C13" s="8">
        <v>4</v>
      </c>
      <c r="D13" s="8">
        <v>2</v>
      </c>
      <c r="E13" s="8">
        <v>8</v>
      </c>
      <c r="F13" s="8">
        <v>7</v>
      </c>
      <c r="G13" s="8">
        <f>LARGE(Tabela6[[#This Row],[Treinamento 1]:[Treinamento 4]],1)</f>
        <v>8</v>
      </c>
      <c r="H13" s="8">
        <f>SMALL(Tabela6[[#This Row],[Treinamento 1]:[Treinamento 5]],1)</f>
        <v>2</v>
      </c>
      <c r="I13" s="8">
        <f t="shared" si="1"/>
        <v>5.8</v>
      </c>
      <c r="J13" s="9" t="str">
        <f t="shared" si="0"/>
        <v>A desejar</v>
      </c>
    </row>
    <row r="14" spans="1:10" x14ac:dyDescent="0.25">
      <c r="A14" s="7">
        <v>9292</v>
      </c>
      <c r="B14" s="8">
        <v>7</v>
      </c>
      <c r="C14" s="8">
        <v>9</v>
      </c>
      <c r="D14" s="8">
        <v>3</v>
      </c>
      <c r="E14" s="8">
        <v>3</v>
      </c>
      <c r="F14" s="8">
        <v>9</v>
      </c>
      <c r="G14" s="8">
        <f>LARGE(Tabela6[[#This Row],[Treinamento 1]:[Treinamento 4]],1)</f>
        <v>9</v>
      </c>
      <c r="H14" s="8">
        <f>SMALL(Tabela6[[#This Row],[Treinamento 1]:[Treinamento 5]],1)</f>
        <v>3</v>
      </c>
      <c r="I14" s="8">
        <f t="shared" si="1"/>
        <v>6.2</v>
      </c>
      <c r="J14" s="9" t="str">
        <f t="shared" si="0"/>
        <v>Bom</v>
      </c>
    </row>
    <row r="15" spans="1:10" x14ac:dyDescent="0.25">
      <c r="A15" s="7">
        <v>9293</v>
      </c>
      <c r="B15" s="8">
        <v>10</v>
      </c>
      <c r="C15" s="8">
        <v>2</v>
      </c>
      <c r="D15" s="8">
        <v>7</v>
      </c>
      <c r="E15" s="8">
        <v>6</v>
      </c>
      <c r="F15" s="8">
        <v>4</v>
      </c>
      <c r="G15" s="8">
        <f>LARGE(Tabela6[[#This Row],[Treinamento 1]:[Treinamento 4]],1)</f>
        <v>10</v>
      </c>
      <c r="H15" s="8">
        <f>SMALL(Tabela6[[#This Row],[Treinamento 1]:[Treinamento 5]],1)</f>
        <v>2</v>
      </c>
      <c r="I15" s="8">
        <f t="shared" si="1"/>
        <v>5.8</v>
      </c>
      <c r="J15" s="9" t="str">
        <f t="shared" si="0"/>
        <v>A desejar</v>
      </c>
    </row>
    <row r="16" spans="1:10" x14ac:dyDescent="0.25">
      <c r="A16" s="7">
        <v>9294</v>
      </c>
      <c r="B16" s="8">
        <v>6</v>
      </c>
      <c r="C16" s="8">
        <v>8</v>
      </c>
      <c r="D16" s="8">
        <v>4</v>
      </c>
      <c r="E16" s="8">
        <v>4</v>
      </c>
      <c r="F16" s="8">
        <v>7</v>
      </c>
      <c r="G16" s="8">
        <f>LARGE(Tabela6[[#This Row],[Treinamento 1]:[Treinamento 4]],1)</f>
        <v>8</v>
      </c>
      <c r="H16" s="8">
        <f>SMALL(Tabela6[[#This Row],[Treinamento 1]:[Treinamento 5]],1)</f>
        <v>4</v>
      </c>
      <c r="I16" s="8">
        <f t="shared" si="1"/>
        <v>5.8</v>
      </c>
      <c r="J16" s="9" t="str">
        <f t="shared" si="0"/>
        <v>A desejar</v>
      </c>
    </row>
    <row r="17" spans="1:10" x14ac:dyDescent="0.25">
      <c r="A17" s="7">
        <v>9295</v>
      </c>
      <c r="B17" s="8">
        <v>4</v>
      </c>
      <c r="C17" s="8">
        <v>4</v>
      </c>
      <c r="D17" s="8">
        <v>7</v>
      </c>
      <c r="E17" s="8">
        <v>8</v>
      </c>
      <c r="F17" s="8">
        <v>5</v>
      </c>
      <c r="G17" s="8">
        <f>LARGE(Tabela6[[#This Row],[Treinamento 1]:[Treinamento 4]],1)</f>
        <v>8</v>
      </c>
      <c r="H17" s="8">
        <f>SMALL(Tabela6[[#This Row],[Treinamento 1]:[Treinamento 5]],1)</f>
        <v>4</v>
      </c>
      <c r="I17" s="8">
        <f t="shared" si="1"/>
        <v>5.6</v>
      </c>
      <c r="J17" s="9" t="str">
        <f t="shared" si="0"/>
        <v>A desejar</v>
      </c>
    </row>
    <row r="18" spans="1:10" x14ac:dyDescent="0.25">
      <c r="A18" s="7">
        <v>9296</v>
      </c>
      <c r="B18" s="8">
        <v>3</v>
      </c>
      <c r="C18" s="8">
        <v>7</v>
      </c>
      <c r="D18" s="8">
        <v>2</v>
      </c>
      <c r="E18" s="8">
        <v>0</v>
      </c>
      <c r="F18" s="8">
        <v>9</v>
      </c>
      <c r="G18" s="8">
        <f>LARGE(Tabela6[[#This Row],[Treinamento 1]:[Treinamento 4]],1)</f>
        <v>7</v>
      </c>
      <c r="H18" s="8">
        <f>SMALL(Tabela6[[#This Row],[Treinamento 1]:[Treinamento 5]],1)</f>
        <v>0</v>
      </c>
      <c r="I18" s="8">
        <f t="shared" si="1"/>
        <v>4.2</v>
      </c>
      <c r="J18" s="9" t="str">
        <f t="shared" si="0"/>
        <v>A desejar</v>
      </c>
    </row>
    <row r="19" spans="1:10" x14ac:dyDescent="0.25">
      <c r="A19" s="7">
        <v>9297</v>
      </c>
      <c r="B19" s="8">
        <v>6</v>
      </c>
      <c r="C19" s="8">
        <v>2</v>
      </c>
      <c r="D19" s="8">
        <v>5</v>
      </c>
      <c r="E19" s="8">
        <v>2</v>
      </c>
      <c r="F19" s="8">
        <v>7</v>
      </c>
      <c r="G19" s="8">
        <f>LARGE(Tabela6[[#This Row],[Treinamento 1]:[Treinamento 4]],1)</f>
        <v>6</v>
      </c>
      <c r="H19" s="8">
        <f>SMALL(Tabela6[[#This Row],[Treinamento 1]:[Treinamento 5]],1)</f>
        <v>2</v>
      </c>
      <c r="I19" s="8">
        <f t="shared" si="1"/>
        <v>4.4000000000000004</v>
      </c>
      <c r="J19" s="9" t="str">
        <f t="shared" si="0"/>
        <v>A desejar</v>
      </c>
    </row>
    <row r="20" spans="1:10" x14ac:dyDescent="0.25">
      <c r="A20" s="7">
        <v>9298</v>
      </c>
      <c r="B20" s="8">
        <v>6</v>
      </c>
      <c r="C20" s="8">
        <v>4</v>
      </c>
      <c r="D20" s="8">
        <v>7</v>
      </c>
      <c r="E20" s="8">
        <v>7</v>
      </c>
      <c r="F20" s="8">
        <v>3</v>
      </c>
      <c r="G20" s="8">
        <f>LARGE(Tabela6[[#This Row],[Treinamento 1]:[Treinamento 4]],1)</f>
        <v>7</v>
      </c>
      <c r="H20" s="8">
        <f>SMALL(Tabela6[[#This Row],[Treinamento 1]:[Treinamento 5]],1)</f>
        <v>3</v>
      </c>
      <c r="I20" s="8">
        <f t="shared" si="1"/>
        <v>5.4</v>
      </c>
      <c r="J20" s="9" t="str">
        <f t="shared" si="0"/>
        <v>A desejar</v>
      </c>
    </row>
    <row r="21" spans="1:10" x14ac:dyDescent="0.25">
      <c r="A21" s="7">
        <v>9299</v>
      </c>
      <c r="B21" s="8">
        <v>7</v>
      </c>
      <c r="C21" s="8">
        <v>9</v>
      </c>
      <c r="D21" s="8">
        <v>9</v>
      </c>
      <c r="E21" s="8">
        <v>2</v>
      </c>
      <c r="F21" s="8">
        <v>4</v>
      </c>
      <c r="G21" s="8">
        <f>LARGE(Tabela6[[#This Row],[Treinamento 1]:[Treinamento 4]],1)</f>
        <v>9</v>
      </c>
      <c r="H21" s="8">
        <f>SMALL(Tabela6[[#This Row],[Treinamento 1]:[Treinamento 5]],1)</f>
        <v>2</v>
      </c>
      <c r="I21" s="8">
        <f t="shared" si="1"/>
        <v>6.2</v>
      </c>
      <c r="J21" s="9" t="str">
        <f t="shared" si="0"/>
        <v>Bom</v>
      </c>
    </row>
    <row r="22" spans="1:10" x14ac:dyDescent="0.25">
      <c r="A22" s="7">
        <v>9300</v>
      </c>
      <c r="B22" s="8">
        <v>8</v>
      </c>
      <c r="C22" s="8">
        <v>2</v>
      </c>
      <c r="D22" s="8">
        <v>2</v>
      </c>
      <c r="E22" s="8">
        <v>6</v>
      </c>
      <c r="F22" s="8">
        <v>9</v>
      </c>
      <c r="G22" s="8">
        <f>LARGE(Tabela6[[#This Row],[Treinamento 1]:[Treinamento 4]],1)</f>
        <v>8</v>
      </c>
      <c r="H22" s="8">
        <f>SMALL(Tabela6[[#This Row],[Treinamento 1]:[Treinamento 5]],1)</f>
        <v>2</v>
      </c>
      <c r="I22" s="8">
        <f t="shared" si="1"/>
        <v>5.4</v>
      </c>
      <c r="J22" s="9" t="str">
        <f t="shared" si="0"/>
        <v>A desejar</v>
      </c>
    </row>
    <row r="23" spans="1:10" x14ac:dyDescent="0.25">
      <c r="A23" s="7">
        <v>9301</v>
      </c>
      <c r="B23" s="8">
        <v>7</v>
      </c>
      <c r="C23" s="8">
        <v>7</v>
      </c>
      <c r="D23" s="8">
        <v>7</v>
      </c>
      <c r="E23" s="8">
        <v>3</v>
      </c>
      <c r="F23" s="8">
        <v>3</v>
      </c>
      <c r="G23" s="8">
        <f>LARGE(Tabela6[[#This Row],[Treinamento 1]:[Treinamento 4]],1)</f>
        <v>7</v>
      </c>
      <c r="H23" s="8">
        <f>SMALL(Tabela6[[#This Row],[Treinamento 1]:[Treinamento 5]],1)</f>
        <v>3</v>
      </c>
      <c r="I23" s="8">
        <f t="shared" si="1"/>
        <v>5.4</v>
      </c>
      <c r="J23" s="9" t="str">
        <f t="shared" si="0"/>
        <v>A desejar</v>
      </c>
    </row>
    <row r="24" spans="1:10" x14ac:dyDescent="0.25">
      <c r="A24" s="7">
        <v>9302</v>
      </c>
      <c r="B24" s="8">
        <v>6</v>
      </c>
      <c r="C24" s="8">
        <v>3</v>
      </c>
      <c r="D24" s="8">
        <v>10</v>
      </c>
      <c r="E24" s="8">
        <v>7</v>
      </c>
      <c r="F24" s="8">
        <v>10</v>
      </c>
      <c r="G24" s="8">
        <f>LARGE(Tabela6[[#This Row],[Treinamento 1]:[Treinamento 4]],1)</f>
        <v>10</v>
      </c>
      <c r="H24" s="8">
        <f>SMALL(Tabela6[[#This Row],[Treinamento 1]:[Treinamento 5]],1)</f>
        <v>3</v>
      </c>
      <c r="I24" s="8">
        <f t="shared" si="1"/>
        <v>7.2</v>
      </c>
      <c r="J24" s="9" t="str">
        <f t="shared" si="0"/>
        <v>Bom</v>
      </c>
    </row>
    <row r="25" spans="1:10" x14ac:dyDescent="0.25">
      <c r="A25" s="7">
        <v>9303</v>
      </c>
      <c r="B25" s="8">
        <v>4</v>
      </c>
      <c r="C25" s="8">
        <v>8</v>
      </c>
      <c r="D25" s="8">
        <v>5</v>
      </c>
      <c r="E25" s="8">
        <v>5</v>
      </c>
      <c r="F25" s="8">
        <v>4</v>
      </c>
      <c r="G25" s="8">
        <f>LARGE(Tabela6[[#This Row],[Treinamento 1]:[Treinamento 4]],1)</f>
        <v>8</v>
      </c>
      <c r="H25" s="8">
        <f>SMALL(Tabela6[[#This Row],[Treinamento 1]:[Treinamento 5]],1)</f>
        <v>4</v>
      </c>
      <c r="I25" s="8">
        <f t="shared" si="1"/>
        <v>5.2</v>
      </c>
      <c r="J25" s="9" t="str">
        <f t="shared" si="0"/>
        <v>A desejar</v>
      </c>
    </row>
    <row r="26" spans="1:10" x14ac:dyDescent="0.25">
      <c r="A26" s="7">
        <v>9304</v>
      </c>
      <c r="B26" s="8">
        <v>1</v>
      </c>
      <c r="C26" s="8">
        <v>6</v>
      </c>
      <c r="D26" s="8">
        <v>3</v>
      </c>
      <c r="E26" s="8">
        <v>9</v>
      </c>
      <c r="F26" s="8">
        <v>10</v>
      </c>
      <c r="G26" s="8">
        <f>LARGE(Tabela6[[#This Row],[Treinamento 1]:[Treinamento 4]],1)</f>
        <v>9</v>
      </c>
      <c r="H26" s="8">
        <f>SMALL(Tabela6[[#This Row],[Treinamento 1]:[Treinamento 5]],1)</f>
        <v>1</v>
      </c>
      <c r="I26" s="8">
        <f t="shared" si="1"/>
        <v>5.8</v>
      </c>
      <c r="J26" s="9" t="str">
        <f t="shared" si="0"/>
        <v>A desejar</v>
      </c>
    </row>
    <row r="27" spans="1:10" x14ac:dyDescent="0.25">
      <c r="A27" s="10">
        <v>9305</v>
      </c>
      <c r="B27" s="11">
        <v>9</v>
      </c>
      <c r="C27" s="11">
        <v>10</v>
      </c>
      <c r="D27" s="11">
        <v>6</v>
      </c>
      <c r="E27" s="11">
        <v>8</v>
      </c>
      <c r="F27" s="11">
        <v>6</v>
      </c>
      <c r="G27" s="11">
        <f>LARGE(Tabela6[[#This Row],[Treinamento 1]:[Treinamento 4]],1)</f>
        <v>10</v>
      </c>
      <c r="H27" s="11">
        <f>SMALL(Tabela6[[#This Row],[Treinamento 1]:[Treinamento 5]],1)</f>
        <v>6</v>
      </c>
      <c r="I27" s="11">
        <f t="shared" si="1"/>
        <v>7.8</v>
      </c>
      <c r="J27" s="12" t="str">
        <f t="shared" si="0"/>
        <v>Bom</v>
      </c>
    </row>
  </sheetData>
  <phoneticPr fontId="1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EB32B-F743-44EF-A74D-3987455FFF69}">
  <sheetPr codeName="Planilha3"/>
  <dimension ref="B2:N26"/>
  <sheetViews>
    <sheetView workbookViewId="0">
      <selection activeCell="E15" sqref="E15"/>
    </sheetView>
  </sheetViews>
  <sheetFormatPr defaultRowHeight="15" x14ac:dyDescent="0.25"/>
  <cols>
    <col min="1" max="1" width="13.140625" bestFit="1" customWidth="1"/>
    <col min="2" max="2" width="20.140625" bestFit="1" customWidth="1"/>
    <col min="4" max="4" width="13.140625" bestFit="1" customWidth="1"/>
    <col min="5" max="5" width="14.140625" customWidth="1"/>
  </cols>
  <sheetData>
    <row r="2" spans="2:14" x14ac:dyDescent="0.25">
      <c r="B2" s="21" t="s">
        <v>42</v>
      </c>
      <c r="C2" s="21"/>
      <c r="D2">
        <f>COUNTIF(Tabela2[Sexo],"F")</f>
        <v>13</v>
      </c>
      <c r="F2" s="18"/>
      <c r="G2" s="18"/>
      <c r="H2" s="18"/>
      <c r="I2" s="18"/>
      <c r="J2" s="18"/>
      <c r="K2" s="18"/>
    </row>
    <row r="3" spans="2:14" x14ac:dyDescent="0.25">
      <c r="B3" s="14"/>
      <c r="C3" s="14"/>
      <c r="J3" s="20" t="s">
        <v>43</v>
      </c>
      <c r="K3" s="20"/>
      <c r="L3" s="20"/>
      <c r="M3" s="20"/>
      <c r="N3" s="20"/>
    </row>
    <row r="4" spans="2:14" x14ac:dyDescent="0.25">
      <c r="B4" s="21" t="s">
        <v>44</v>
      </c>
      <c r="C4" s="21"/>
      <c r="D4">
        <f>COUNTIF(Tabela2[Sexo],"M")</f>
        <v>14</v>
      </c>
    </row>
    <row r="5" spans="2:14" x14ac:dyDescent="0.25">
      <c r="B5" s="14"/>
      <c r="C5" s="14"/>
    </row>
    <row r="6" spans="2:14" x14ac:dyDescent="0.25">
      <c r="B6" s="21" t="s">
        <v>45</v>
      </c>
      <c r="C6" s="21"/>
      <c r="D6">
        <f>AVERAGE(Tabela2[Idade])</f>
        <v>17.62962962962963</v>
      </c>
    </row>
    <row r="7" spans="2:14" x14ac:dyDescent="0.25">
      <c r="B7" s="14"/>
      <c r="C7" s="14"/>
    </row>
    <row r="8" spans="2:14" x14ac:dyDescent="0.25">
      <c r="B8" s="21" t="s">
        <v>49</v>
      </c>
      <c r="C8" s="21"/>
      <c r="D8">
        <f>LARGE(Tabela6[Média],1)</f>
        <v>8</v>
      </c>
    </row>
    <row r="9" spans="2:14" x14ac:dyDescent="0.25">
      <c r="B9" s="14"/>
      <c r="C9" s="15"/>
      <c r="D9" s="2"/>
      <c r="E9" s="2"/>
      <c r="F9" s="2"/>
    </row>
    <row r="10" spans="2:14" x14ac:dyDescent="0.25">
      <c r="B10" s="21" t="s">
        <v>46</v>
      </c>
      <c r="C10" s="21"/>
      <c r="D10" s="19" t="s">
        <v>5</v>
      </c>
      <c r="E10" s="2"/>
      <c r="F10" s="2"/>
    </row>
    <row r="11" spans="2:14" x14ac:dyDescent="0.25">
      <c r="B11" s="14"/>
      <c r="C11" s="15"/>
      <c r="D11" s="2"/>
      <c r="E11" s="2"/>
      <c r="F11" s="2"/>
    </row>
    <row r="12" spans="2:14" x14ac:dyDescent="0.25">
      <c r="B12" s="21" t="s">
        <v>47</v>
      </c>
      <c r="C12" s="21"/>
      <c r="D12" s="2">
        <f>SUM(Tabela2[Faltas])</f>
        <v>175</v>
      </c>
      <c r="E12" s="2"/>
    </row>
    <row r="13" spans="2:14" x14ac:dyDescent="0.25">
      <c r="B13" s="14"/>
      <c r="C13" s="15"/>
      <c r="D13" s="3"/>
      <c r="E13" s="2"/>
    </row>
    <row r="14" spans="2:14" x14ac:dyDescent="0.25">
      <c r="B14" s="21" t="s">
        <v>48</v>
      </c>
      <c r="C14" s="21"/>
      <c r="D14" s="2"/>
      <c r="E14" s="2"/>
      <c r="F14" s="2"/>
    </row>
    <row r="15" spans="2:14" x14ac:dyDescent="0.25">
      <c r="C15" s="2"/>
      <c r="D15" s="2"/>
      <c r="E15" s="2"/>
      <c r="F15" s="2"/>
    </row>
    <row r="16" spans="2:14" x14ac:dyDescent="0.25">
      <c r="C16" s="2"/>
      <c r="D16" s="2"/>
      <c r="E16" s="2"/>
      <c r="F16" s="2"/>
    </row>
    <row r="17" spans="2:6" x14ac:dyDescent="0.25">
      <c r="C17" s="2"/>
      <c r="D17" s="2"/>
      <c r="E17" s="2"/>
      <c r="F17" s="2"/>
    </row>
    <row r="21" spans="2:6" x14ac:dyDescent="0.25">
      <c r="B21" s="13"/>
      <c r="C21" s="13" t="s">
        <v>40</v>
      </c>
    </row>
    <row r="22" spans="2:6" x14ac:dyDescent="0.25">
      <c r="B22" s="13" t="s">
        <v>33</v>
      </c>
      <c r="C22" s="8">
        <f>ROUND(AVERAGE(Tabela6[Treinamento 1]),2)</f>
        <v>6.08</v>
      </c>
    </row>
    <row r="23" spans="2:6" x14ac:dyDescent="0.25">
      <c r="B23" s="13" t="s">
        <v>34</v>
      </c>
      <c r="C23" s="8">
        <f>ROUND(AVERAGE(Tabela6[Treinamento 2]),2)</f>
        <v>5.42</v>
      </c>
    </row>
    <row r="24" spans="2:6" x14ac:dyDescent="0.25">
      <c r="B24" s="13" t="s">
        <v>35</v>
      </c>
      <c r="C24" s="8">
        <f>ROUND(AVERAGE(Tabela6[Treinamento 3]),2)</f>
        <v>5.27</v>
      </c>
    </row>
    <row r="25" spans="2:6" x14ac:dyDescent="0.25">
      <c r="B25" s="13" t="s">
        <v>36</v>
      </c>
      <c r="C25" s="8">
        <f>ROUND(AVERAGE(Tabela6[Treinamento 4]),2)</f>
        <v>5.69</v>
      </c>
    </row>
    <row r="26" spans="2:6" x14ac:dyDescent="0.25">
      <c r="B26" s="13" t="s">
        <v>37</v>
      </c>
      <c r="C26" s="8">
        <f>ROUND(AVERAGE(Tabela6[Treinamento 5]),2)</f>
        <v>5.88</v>
      </c>
    </row>
  </sheetData>
  <mergeCells count="8">
    <mergeCell ref="J3:N3"/>
    <mergeCell ref="B8:C8"/>
    <mergeCell ref="B14:C14"/>
    <mergeCell ref="B2:C2"/>
    <mergeCell ref="B4:C4"/>
    <mergeCell ref="B6:C6"/>
    <mergeCell ref="B10:C10"/>
    <mergeCell ref="B12:C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elhorAluno">
                <anchor moveWithCells="1">
                  <from>
                    <xdr:col>4</xdr:col>
                    <xdr:colOff>38100</xdr:colOff>
                    <xdr:row>8</xdr:row>
                    <xdr:rowOff>180975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80C5B-6F03-428E-8365-A12B4493367C}">
  <sheetPr codeName="Planilha4"/>
  <dimension ref="A1"/>
  <sheetViews>
    <sheetView workbookViewId="0">
      <selection activeCell="I3" sqref="I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login">
                <anchor moveWithCells="1">
                  <from>
                    <xdr:col>4</xdr:col>
                    <xdr:colOff>180975</xdr:colOff>
                    <xdr:row>3</xdr:row>
                    <xdr:rowOff>57150</xdr:rowOff>
                  </from>
                  <to>
                    <xdr:col>24</xdr:col>
                    <xdr:colOff>409575</xdr:colOff>
                    <xdr:row>32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39B355FFE016344AE1AA26ECBE712C7" ma:contentTypeVersion="13" ma:contentTypeDescription="Create a new document." ma:contentTypeScope="" ma:versionID="7d376d84c78403e465e231a30333546c">
  <xsd:schema xmlns:xsd="http://www.w3.org/2001/XMLSchema" xmlns:xs="http://www.w3.org/2001/XMLSchema" xmlns:p="http://schemas.microsoft.com/office/2006/metadata/properties" xmlns:ns2="f0e3bcb0-2817-463a-af3e-d5f475c1feb7" xmlns:ns3="ecaf0e02-8eff-4060-ae69-b3859f9f9a1e" targetNamespace="http://schemas.microsoft.com/office/2006/metadata/properties" ma:root="true" ma:fieldsID="b9ff9bc34e12306af12566702f1add7f" ns2:_="" ns3:_="">
    <xsd:import namespace="f0e3bcb0-2817-463a-af3e-d5f475c1feb7"/>
    <xsd:import namespace="ecaf0e02-8eff-4060-ae69-b3859f9f9a1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ObjectDetectorVersion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e3bcb0-2817-463a-af3e-d5f475c1feb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ce50c28b-242c-4b51-be91-908d422433a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caf0e02-8eff-4060-ae69-b3859f9f9a1e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e42225c5-f802-40e9-bd6b-510dfb3a720f}" ma:internalName="TaxCatchAll" ma:showField="CatchAllData" ma:web="ecaf0e02-8eff-4060-ae69-b3859f9f9a1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0e3bcb0-2817-463a-af3e-d5f475c1feb7">
      <Terms xmlns="http://schemas.microsoft.com/office/infopath/2007/PartnerControls"/>
    </lcf76f155ced4ddcb4097134ff3c332f>
    <TaxCatchAll xmlns="ecaf0e02-8eff-4060-ae69-b3859f9f9a1e" xsi:nil="true"/>
  </documentManagement>
</p:properties>
</file>

<file path=customXml/itemProps1.xml><?xml version="1.0" encoding="utf-8"?>
<ds:datastoreItem xmlns:ds="http://schemas.openxmlformats.org/officeDocument/2006/customXml" ds:itemID="{080A6BC4-1270-4C09-BA82-1B421102987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E84DD14-A60D-4403-A6D2-F1B9D78925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0e3bcb0-2817-463a-af3e-d5f475c1feb7"/>
    <ds:schemaRef ds:uri="ecaf0e02-8eff-4060-ae69-b3859f9f9a1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3420E23-1529-4727-B8E3-CC50050AB154}">
  <ds:schemaRefs>
    <ds:schemaRef ds:uri="http://schemas.microsoft.com/office/2006/metadata/properties"/>
    <ds:schemaRef ds:uri="http://schemas.microsoft.com/office/infopath/2007/PartnerControls"/>
    <ds:schemaRef ds:uri="f0e3bcb0-2817-463a-af3e-d5f475c1feb7"/>
    <ds:schemaRef ds:uri="ecaf0e02-8eff-4060-ae69-b3859f9f9a1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Dados aprendizes</vt:lpstr>
      <vt:lpstr>Notas</vt:lpstr>
      <vt:lpstr>Indicadores</vt:lpstr>
      <vt:lpstr>LOGIN</vt:lpstr>
      <vt:lpstr>daods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Lima Queila (CtP/ETS)</dc:creator>
  <cp:keywords/>
  <dc:description/>
  <cp:lastModifiedBy>Ferro Alisson (CtP/ETS)</cp:lastModifiedBy>
  <cp:revision/>
  <dcterms:created xsi:type="dcterms:W3CDTF">2023-10-03T16:43:59Z</dcterms:created>
  <dcterms:modified xsi:type="dcterms:W3CDTF">2024-03-28T15:00:56Z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0x010100639B355FFE016344AE1AA26ECBE712C7</vt:lpwstr>
  </property>
  <property fmtid="{D5CDD505-2E9C-101B-9397-08002B2CF9AE}" pid="3" name="MediaServiceImageTags">
    <vt:lpwstr/>
  </property>
</Properties>
</file>